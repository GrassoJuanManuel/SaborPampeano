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are\OneDrive\Desktop\SABOR PAMPEANO\"/>
    </mc:Choice>
  </mc:AlternateContent>
  <xr:revisionPtr revIDLastSave="0" documentId="13_ncr:1_{7184C9C7-2CFA-43BC-BFA7-4A0023B559F3}" xr6:coauthVersionLast="47" xr6:coauthVersionMax="47" xr10:uidLastSave="{00000000-0000-0000-0000-000000000000}"/>
  <bookViews>
    <workbookView xWindow="-120" yWindow="-120" windowWidth="20730" windowHeight="11040" xr2:uid="{E1A291E0-8B38-4F1E-B603-24A7DA10CC71}"/>
  </bookViews>
  <sheets>
    <sheet name="Tareas" sheetId="2" r:id="rId1"/>
    <sheet name="Contacto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F2" i="2"/>
  <c r="G2" i="2"/>
  <c r="F3" i="2"/>
  <c r="G3" i="2"/>
  <c r="F4" i="2"/>
  <c r="G4" i="2"/>
  <c r="F5" i="2"/>
  <c r="G5" i="2"/>
  <c r="G6" i="2"/>
  <c r="F21" i="2"/>
  <c r="G21" i="2"/>
  <c r="F23" i="2"/>
  <c r="G23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6" i="2"/>
  <c r="G36" i="2"/>
  <c r="F35" i="2"/>
  <c r="G35" i="2"/>
</calcChain>
</file>

<file path=xl/sharedStrings.xml><?xml version="1.0" encoding="utf-8"?>
<sst xmlns="http://schemas.openxmlformats.org/spreadsheetml/2006/main" count="80" uniqueCount="72">
  <si>
    <t>ROBOQUO</t>
  </si>
  <si>
    <t>ABATIDOR</t>
  </si>
  <si>
    <t>AMASADORA</t>
  </si>
  <si>
    <t>SOBADORA</t>
  </si>
  <si>
    <t>HORNO SOUD VIDE</t>
  </si>
  <si>
    <t>Rogelio</t>
  </si>
  <si>
    <t>+54 9 11 6212-8948</t>
  </si>
  <si>
    <t xml:space="preserve"> +54 9 34 1688 - 3076</t>
  </si>
  <si>
    <t xml:space="preserve">  + 54 9 2916 42 6669</t>
  </si>
  <si>
    <t>Javier Remondegui</t>
  </si>
  <si>
    <t>Gustavo</t>
  </si>
  <si>
    <t>MAQUINA</t>
  </si>
  <si>
    <t>TAREA</t>
  </si>
  <si>
    <t>RESPONSABLE</t>
  </si>
  <si>
    <t>ULTIMA VEZ</t>
  </si>
  <si>
    <t>PROXIMA VEZ</t>
  </si>
  <si>
    <t>FRECUENCIA (dias)</t>
  </si>
  <si>
    <t>Lucas Arellano</t>
  </si>
  <si>
    <t>Sacar, limpiar y lubricar las valvulas</t>
  </si>
  <si>
    <t>Purgar el filtro</t>
  </si>
  <si>
    <t>Siempre que se saque alguna tapa que tenga O-Ring siempre lubricarlo y ponerle vaselina en pasta o vaselina liquida</t>
  </si>
  <si>
    <t>Se debera hacer todos los lunes ya que se aplica siempre que la maquina este parada mas de 1 dia</t>
  </si>
  <si>
    <t>Descargar caldera y agregarle agua fria (2)</t>
  </si>
  <si>
    <t>Cambio retenes de cuchilla (1)</t>
  </si>
  <si>
    <t>El cambio de cuchillas se debera hacer cada 225 horas de uso; teniendo en cuenta 6,5 horas de uso diario serian 35 dias HABILES; 48 dias corridos</t>
  </si>
  <si>
    <t>ACLARACION ROBOQUO</t>
  </si>
  <si>
    <t>REEFER</t>
  </si>
  <si>
    <t xml:space="preserve"> +54 9 2915 70 2709</t>
  </si>
  <si>
    <t xml:space="preserve">  + 54 9 2914 36 4653</t>
  </si>
  <si>
    <t>ENVASADORA AL VACIO EARLICH</t>
  </si>
  <si>
    <t>ENVASADORA AL VACIO TURBOVAQ</t>
  </si>
  <si>
    <t>Fijarse que el burlete de la tapa no este cortado y que no pierda presion</t>
  </si>
  <si>
    <t xml:space="preserve"> DIAS PROXIMO MANTENIMIENTO</t>
  </si>
  <si>
    <t>Cambiar aceite de la bomba de vacio</t>
  </si>
  <si>
    <t>Inspeccionar las barras de teflon</t>
  </si>
  <si>
    <t>Ejecutar limpieza (programa 0)</t>
  </si>
  <si>
    <t>Cambiar aceite de la bomba</t>
  </si>
  <si>
    <t>Cambiar el filtro de neblina</t>
  </si>
  <si>
    <t>Cambiar filtro de neblina</t>
  </si>
  <si>
    <t>ACLARACION HORNO SOUD VIDE</t>
  </si>
  <si>
    <t>Renovar el agua (1)</t>
  </si>
  <si>
    <t>En el caso de que se abra una bolsa el agua se tendra que renovar instantaneamente</t>
  </si>
  <si>
    <t>El equipo se prende siempre con agua cargada tapando los canastos</t>
  </si>
  <si>
    <t>Limpieza del filtro de aire</t>
  </si>
  <si>
    <t>Limpieza del equipo</t>
  </si>
  <si>
    <t>Hidrolavado de la condensadora</t>
  </si>
  <si>
    <t>Control de resistencia y forzadores</t>
  </si>
  <si>
    <t>Control de las fugas y del refrigerante</t>
  </si>
  <si>
    <t xml:space="preserve">Colocar aceite al comrpesor </t>
  </si>
  <si>
    <t>Reajustar tablero</t>
  </si>
  <si>
    <t>Hidrolavado de ambos motores</t>
  </si>
  <si>
    <t>control de los forzadores</t>
  </si>
  <si>
    <t>Control de placas electronicas</t>
  </si>
  <si>
    <t>3 CAMARAS REFRIGERANTES</t>
  </si>
  <si>
    <t>Hidrolavado de la unidad condensadora</t>
  </si>
  <si>
    <t>Control de aceite del motor</t>
  </si>
  <si>
    <t>Reajuste de la parte electrica</t>
  </si>
  <si>
    <t>Control de fuga refrigerante</t>
  </si>
  <si>
    <t>2 EQUIPOS DE AIRE</t>
  </si>
  <si>
    <t>Control de forzadores</t>
  </si>
  <si>
    <t>Control del fluido refrigerante</t>
  </si>
  <si>
    <t>Emiliano Linares</t>
  </si>
  <si>
    <t>Precio mensual</t>
  </si>
  <si>
    <t>Engrase</t>
  </si>
  <si>
    <t>Revision de correas</t>
  </si>
  <si>
    <t>Contacto</t>
  </si>
  <si>
    <t>Nombre</t>
  </si>
  <si>
    <t>Representante</t>
  </si>
  <si>
    <t>Responsables</t>
  </si>
  <si>
    <t>Funcion</t>
  </si>
  <si>
    <t>Sin definir</t>
  </si>
  <si>
    <t xml:space="preserve">HORNO RATIONAL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</si>
</sst>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 applyAlignment="1">
      <alignment horizontal="center"/>
    </xf>
    <xf numFmtId="164" fontId="1" fillId="0" borderId="0" xfId="0" applyNumberFormat="1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0" borderId="30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4" fontId="0" fillId="0" borderId="42" xfId="0" applyNumberFormat="1" applyBorder="1"/>
    <xf numFmtId="14" fontId="0" fillId="0" borderId="43" xfId="0" applyNumberFormat="1" applyBorder="1"/>
    <xf numFmtId="0" fontId="1" fillId="5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41" xfId="0" applyNumberFormat="1" applyBorder="1"/>
    <xf numFmtId="14" fontId="0" fillId="0" borderId="17" xfId="0" applyNumberFormat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44" fontId="1" fillId="0" borderId="16" xfId="1" applyFont="1" applyBorder="1" applyAlignment="1">
      <alignment horizontal="center" vertical="center"/>
    </xf>
    <xf numFmtId="44" fontId="1" fillId="0" borderId="18" xfId="1" applyFont="1" applyBorder="1" applyAlignment="1">
      <alignment horizontal="center" vertical="center"/>
    </xf>
    <xf numFmtId="165" fontId="1" fillId="0" borderId="16" xfId="1" applyNumberFormat="1" applyFont="1" applyBorder="1" applyAlignment="1">
      <alignment horizontal="center" vertical="center"/>
    </xf>
    <xf numFmtId="165" fontId="1" fillId="0" borderId="18" xfId="1" applyNumberFormat="1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3297-7E9F-45E9-B9F3-9F5E9264A186}">
  <dimension ref="A1:I45"/>
  <sheetViews>
    <sheetView tabSelected="1" zoomScale="90" zoomScaleNormal="90" workbookViewId="0">
      <selection activeCell="F6" sqref="F6:F20"/>
    </sheetView>
  </sheetViews>
  <sheetFormatPr baseColWidth="10" defaultRowHeight="15" x14ac:dyDescent="0.25"/>
  <cols>
    <col min="1" max="1" width="34" bestFit="1" customWidth="1"/>
    <col min="2" max="2" width="62.42578125" bestFit="1" customWidth="1"/>
    <col min="3" max="3" width="17.28515625" bestFit="1" customWidth="1"/>
    <col min="4" max="4" width="17.85546875" bestFit="1" customWidth="1"/>
    <col min="5" max="5" width="11.7109375" bestFit="1" customWidth="1"/>
    <col min="6" max="6" width="13.42578125" bestFit="1" customWidth="1"/>
    <col min="7" max="7" width="31.7109375" bestFit="1" customWidth="1"/>
    <col min="8" max="8" width="18.7109375" customWidth="1"/>
  </cols>
  <sheetData>
    <row r="1" spans="1:9" ht="15.75" thickBot="1" x14ac:dyDescent="0.3">
      <c r="A1" s="12" t="s">
        <v>11</v>
      </c>
      <c r="B1" s="23" t="s">
        <v>12</v>
      </c>
      <c r="C1" s="23" t="s">
        <v>16</v>
      </c>
      <c r="D1" s="23" t="s">
        <v>13</v>
      </c>
      <c r="E1" s="23" t="s">
        <v>14</v>
      </c>
      <c r="F1" s="24" t="s">
        <v>15</v>
      </c>
      <c r="G1" s="25" t="s">
        <v>32</v>
      </c>
      <c r="H1" s="26" t="s">
        <v>62</v>
      </c>
    </row>
    <row r="2" spans="1:9" ht="15.75" thickBot="1" x14ac:dyDescent="0.3">
      <c r="A2" s="58" t="s">
        <v>0</v>
      </c>
      <c r="B2" s="9" t="s">
        <v>23</v>
      </c>
      <c r="C2" s="9">
        <v>48</v>
      </c>
      <c r="D2" s="64" t="s">
        <v>9</v>
      </c>
      <c r="E2" s="27">
        <v>46035</v>
      </c>
      <c r="F2" s="19">
        <f>C2+E2</f>
        <v>46083</v>
      </c>
      <c r="G2" s="6">
        <f ca="1">F2-TODAY()</f>
        <v>46</v>
      </c>
      <c r="H2" s="60" t="s">
        <v>70</v>
      </c>
    </row>
    <row r="3" spans="1:9" ht="15.75" thickBot="1" x14ac:dyDescent="0.3">
      <c r="A3" s="59"/>
      <c r="B3" s="10" t="s">
        <v>18</v>
      </c>
      <c r="C3" s="10">
        <v>15</v>
      </c>
      <c r="D3" s="40"/>
      <c r="E3" s="27">
        <v>46035</v>
      </c>
      <c r="F3" s="31">
        <f t="shared" ref="F3:F5" si="0">C3+E3</f>
        <v>46050</v>
      </c>
      <c r="G3" s="32">
        <f t="shared" ref="G3:G6" ca="1" si="1">F3-TODAY()</f>
        <v>13</v>
      </c>
      <c r="H3" s="61"/>
      <c r="I3" s="2"/>
    </row>
    <row r="4" spans="1:9" ht="15.75" thickBot="1" x14ac:dyDescent="0.3">
      <c r="A4" s="59"/>
      <c r="B4" s="10" t="s">
        <v>19</v>
      </c>
      <c r="C4" s="10">
        <v>1</v>
      </c>
      <c r="D4" s="40"/>
      <c r="E4" s="27">
        <v>46035</v>
      </c>
      <c r="F4" s="31">
        <f t="shared" si="0"/>
        <v>46036</v>
      </c>
      <c r="G4" s="32">
        <f t="shared" ca="1" si="1"/>
        <v>-1</v>
      </c>
      <c r="H4" s="61"/>
    </row>
    <row r="5" spans="1:9" ht="15.75" thickBot="1" x14ac:dyDescent="0.3">
      <c r="A5" s="59"/>
      <c r="B5" s="10" t="s">
        <v>22</v>
      </c>
      <c r="C5" s="10">
        <v>7</v>
      </c>
      <c r="D5" s="40"/>
      <c r="E5" s="27">
        <v>46035</v>
      </c>
      <c r="F5" s="34">
        <f t="shared" si="0"/>
        <v>46042</v>
      </c>
      <c r="G5" s="7">
        <f t="shared" ca="1" si="1"/>
        <v>5</v>
      </c>
      <c r="H5" s="62"/>
    </row>
    <row r="6" spans="1:9" x14ac:dyDescent="0.25">
      <c r="A6" s="35" t="s">
        <v>1</v>
      </c>
      <c r="B6" s="9" t="s">
        <v>50</v>
      </c>
      <c r="C6" s="49">
        <v>60</v>
      </c>
      <c r="D6" s="38" t="s">
        <v>17</v>
      </c>
      <c r="E6" s="77">
        <v>46035</v>
      </c>
      <c r="F6" s="80">
        <f>E6+C6</f>
        <v>46095</v>
      </c>
      <c r="G6" s="85">
        <f t="shared" ca="1" si="1"/>
        <v>58</v>
      </c>
      <c r="H6" s="44">
        <v>225000</v>
      </c>
    </row>
    <row r="7" spans="1:9" x14ac:dyDescent="0.25">
      <c r="A7" s="36"/>
      <c r="B7" s="10" t="s">
        <v>51</v>
      </c>
      <c r="C7" s="50"/>
      <c r="D7" s="39"/>
      <c r="E7" s="78"/>
      <c r="F7" s="81"/>
      <c r="G7" s="85"/>
      <c r="H7" s="44"/>
    </row>
    <row r="8" spans="1:9" ht="15.75" thickBot="1" x14ac:dyDescent="0.3">
      <c r="A8" s="37"/>
      <c r="B8" s="11" t="s">
        <v>52</v>
      </c>
      <c r="C8" s="50"/>
      <c r="D8" s="39"/>
      <c r="E8" s="78"/>
      <c r="F8" s="81"/>
      <c r="G8" s="85"/>
      <c r="H8" s="44"/>
    </row>
    <row r="9" spans="1:9" x14ac:dyDescent="0.25">
      <c r="A9" s="46" t="s">
        <v>53</v>
      </c>
      <c r="B9" s="9" t="s">
        <v>54</v>
      </c>
      <c r="C9" s="50"/>
      <c r="D9" s="39"/>
      <c r="E9" s="78"/>
      <c r="F9" s="81"/>
      <c r="G9" s="85"/>
      <c r="H9" s="44"/>
    </row>
    <row r="10" spans="1:9" x14ac:dyDescent="0.25">
      <c r="A10" s="47"/>
      <c r="B10" s="10" t="s">
        <v>55</v>
      </c>
      <c r="C10" s="50"/>
      <c r="D10" s="39"/>
      <c r="E10" s="78"/>
      <c r="F10" s="81"/>
      <c r="G10" s="85"/>
      <c r="H10" s="44"/>
    </row>
    <row r="11" spans="1:9" x14ac:dyDescent="0.25">
      <c r="A11" s="47"/>
      <c r="B11" s="10" t="s">
        <v>56</v>
      </c>
      <c r="C11" s="50"/>
      <c r="D11" s="39"/>
      <c r="E11" s="78"/>
      <c r="F11" s="81"/>
      <c r="G11" s="85"/>
      <c r="H11" s="44"/>
    </row>
    <row r="12" spans="1:9" ht="15.75" thickBot="1" x14ac:dyDescent="0.3">
      <c r="A12" s="48"/>
      <c r="B12" s="11" t="s">
        <v>57</v>
      </c>
      <c r="C12" s="50"/>
      <c r="D12" s="39"/>
      <c r="E12" s="78"/>
      <c r="F12" s="81"/>
      <c r="G12" s="85"/>
      <c r="H12" s="44"/>
    </row>
    <row r="13" spans="1:9" x14ac:dyDescent="0.25">
      <c r="A13" s="46" t="s">
        <v>26</v>
      </c>
      <c r="B13" s="9" t="s">
        <v>45</v>
      </c>
      <c r="C13" s="50"/>
      <c r="D13" s="39"/>
      <c r="E13" s="78"/>
      <c r="F13" s="81"/>
      <c r="G13" s="85"/>
      <c r="H13" s="44"/>
    </row>
    <row r="14" spans="1:9" x14ac:dyDescent="0.25">
      <c r="A14" s="47"/>
      <c r="B14" s="10" t="s">
        <v>46</v>
      </c>
      <c r="C14" s="50"/>
      <c r="D14" s="39"/>
      <c r="E14" s="78"/>
      <c r="F14" s="81"/>
      <c r="G14" s="85"/>
      <c r="H14" s="44"/>
    </row>
    <row r="15" spans="1:9" x14ac:dyDescent="0.25">
      <c r="A15" s="47"/>
      <c r="B15" s="10" t="s">
        <v>48</v>
      </c>
      <c r="C15" s="50"/>
      <c r="D15" s="39"/>
      <c r="E15" s="78"/>
      <c r="F15" s="81"/>
      <c r="G15" s="85"/>
      <c r="H15" s="44"/>
    </row>
    <row r="16" spans="1:9" x14ac:dyDescent="0.25">
      <c r="A16" s="47"/>
      <c r="B16" s="10" t="s">
        <v>49</v>
      </c>
      <c r="C16" s="50"/>
      <c r="D16" s="39"/>
      <c r="E16" s="78"/>
      <c r="F16" s="81"/>
      <c r="G16" s="85"/>
      <c r="H16" s="44"/>
    </row>
    <row r="17" spans="1:8" ht="15.75" thickBot="1" x14ac:dyDescent="0.3">
      <c r="A17" s="48"/>
      <c r="B17" s="11" t="s">
        <v>47</v>
      </c>
      <c r="C17" s="50"/>
      <c r="D17" s="39"/>
      <c r="E17" s="78"/>
      <c r="F17" s="81"/>
      <c r="G17" s="85"/>
      <c r="H17" s="44"/>
    </row>
    <row r="18" spans="1:8" x14ac:dyDescent="0.25">
      <c r="A18" s="46" t="s">
        <v>58</v>
      </c>
      <c r="B18" s="9" t="s">
        <v>54</v>
      </c>
      <c r="C18" s="50"/>
      <c r="D18" s="39"/>
      <c r="E18" s="78"/>
      <c r="F18" s="81"/>
      <c r="G18" s="85"/>
      <c r="H18" s="44"/>
    </row>
    <row r="19" spans="1:8" x14ac:dyDescent="0.25">
      <c r="A19" s="47"/>
      <c r="B19" s="10" t="s">
        <v>59</v>
      </c>
      <c r="C19" s="50"/>
      <c r="D19" s="39"/>
      <c r="E19" s="78"/>
      <c r="F19" s="81"/>
      <c r="G19" s="85"/>
      <c r="H19" s="44"/>
    </row>
    <row r="20" spans="1:8" ht="15.75" thickBot="1" x14ac:dyDescent="0.3">
      <c r="A20" s="48"/>
      <c r="B20" s="11" t="s">
        <v>60</v>
      </c>
      <c r="C20" s="51"/>
      <c r="D20" s="63"/>
      <c r="E20" s="79"/>
      <c r="F20" s="53"/>
      <c r="G20" s="57"/>
      <c r="H20" s="45"/>
    </row>
    <row r="21" spans="1:8" ht="13.9" customHeight="1" x14ac:dyDescent="0.25">
      <c r="A21" s="35" t="s">
        <v>2</v>
      </c>
      <c r="B21" s="9" t="s">
        <v>63</v>
      </c>
      <c r="C21" s="49">
        <v>45</v>
      </c>
      <c r="D21" s="38" t="s">
        <v>61</v>
      </c>
      <c r="E21" s="54">
        <v>46035</v>
      </c>
      <c r="F21" s="52">
        <f>C21+E21</f>
        <v>46080</v>
      </c>
      <c r="G21" s="56">
        <f ca="1">F21-TODAY()</f>
        <v>43</v>
      </c>
      <c r="H21" s="42">
        <v>150000</v>
      </c>
    </row>
    <row r="22" spans="1:8" ht="13.9" customHeight="1" thickBot="1" x14ac:dyDescent="0.3">
      <c r="A22" s="37"/>
      <c r="B22" s="11" t="s">
        <v>64</v>
      </c>
      <c r="C22" s="51"/>
      <c r="D22" s="39"/>
      <c r="E22" s="55"/>
      <c r="F22" s="53"/>
      <c r="G22" s="57"/>
      <c r="H22" s="42"/>
    </row>
    <row r="23" spans="1:8" x14ac:dyDescent="0.25">
      <c r="A23" s="35" t="s">
        <v>3</v>
      </c>
      <c r="B23" s="9" t="s">
        <v>63</v>
      </c>
      <c r="C23" s="49">
        <v>45</v>
      </c>
      <c r="D23" s="39"/>
      <c r="E23" s="54">
        <v>45972</v>
      </c>
      <c r="F23" s="52">
        <f>C23+E23</f>
        <v>46017</v>
      </c>
      <c r="G23" s="56">
        <f ca="1">F23-TODAY()</f>
        <v>-20</v>
      </c>
      <c r="H23" s="42"/>
    </row>
    <row r="24" spans="1:8" ht="15.75" thickBot="1" x14ac:dyDescent="0.3">
      <c r="A24" s="37"/>
      <c r="B24" s="11" t="s">
        <v>64</v>
      </c>
      <c r="C24" s="51"/>
      <c r="D24" s="39"/>
      <c r="E24" s="55"/>
      <c r="F24" s="53"/>
      <c r="G24" s="57"/>
      <c r="H24" s="42"/>
    </row>
    <row r="25" spans="1:8" ht="15.75" thickBot="1" x14ac:dyDescent="0.3">
      <c r="A25" s="22" t="s">
        <v>4</v>
      </c>
      <c r="B25" s="18" t="s">
        <v>40</v>
      </c>
      <c r="C25" s="18">
        <v>7</v>
      </c>
      <c r="D25" s="39"/>
      <c r="E25" s="27">
        <v>45972</v>
      </c>
      <c r="F25" s="20">
        <f>C25+E25</f>
        <v>45979</v>
      </c>
      <c r="G25" s="13">
        <f ca="1">F25-TODAY()</f>
        <v>-58</v>
      </c>
      <c r="H25" s="42"/>
    </row>
    <row r="26" spans="1:8" x14ac:dyDescent="0.25">
      <c r="A26" s="35" t="s">
        <v>71</v>
      </c>
      <c r="B26" s="9" t="s">
        <v>44</v>
      </c>
      <c r="C26" s="9">
        <v>1</v>
      </c>
      <c r="D26" s="40"/>
      <c r="E26" s="27">
        <v>45972</v>
      </c>
      <c r="F26" s="20">
        <f>C26+E26</f>
        <v>45973</v>
      </c>
      <c r="G26" s="13">
        <f ca="1">F26-TODAY()</f>
        <v>-64</v>
      </c>
      <c r="H26" s="42"/>
    </row>
    <row r="27" spans="1:8" ht="15.75" thickBot="1" x14ac:dyDescent="0.3">
      <c r="A27" s="37"/>
      <c r="B27" s="11" t="s">
        <v>43</v>
      </c>
      <c r="C27" s="11">
        <v>30</v>
      </c>
      <c r="D27" s="40"/>
      <c r="E27" s="28">
        <v>45972</v>
      </c>
      <c r="F27" s="30">
        <f>C27+E27</f>
        <v>46002</v>
      </c>
      <c r="G27" s="14">
        <f ca="1">F27-TODAY()</f>
        <v>-35</v>
      </c>
      <c r="H27" s="42"/>
    </row>
    <row r="28" spans="1:8" x14ac:dyDescent="0.25">
      <c r="A28" s="35" t="s">
        <v>30</v>
      </c>
      <c r="B28" s="9" t="s">
        <v>31</v>
      </c>
      <c r="C28" s="9">
        <v>30</v>
      </c>
      <c r="D28" s="40"/>
      <c r="E28" s="27">
        <v>45972</v>
      </c>
      <c r="F28" s="20">
        <f t="shared" ref="F28:F36" si="2">C28+E28</f>
        <v>46002</v>
      </c>
      <c r="G28" s="13">
        <f t="shared" ref="G28:G36" ca="1" si="3">F28-TODAY()</f>
        <v>-35</v>
      </c>
      <c r="H28" s="42"/>
    </row>
    <row r="29" spans="1:8" x14ac:dyDescent="0.25">
      <c r="A29" s="36"/>
      <c r="B29" s="10" t="s">
        <v>34</v>
      </c>
      <c r="C29" s="10">
        <v>30</v>
      </c>
      <c r="D29" s="40"/>
      <c r="E29" s="28">
        <v>45972</v>
      </c>
      <c r="F29" s="30">
        <f t="shared" si="2"/>
        <v>46002</v>
      </c>
      <c r="G29" s="14">
        <f t="shared" ca="1" si="3"/>
        <v>-35</v>
      </c>
      <c r="H29" s="42"/>
    </row>
    <row r="30" spans="1:8" x14ac:dyDescent="0.25">
      <c r="A30" s="36"/>
      <c r="B30" s="10" t="s">
        <v>33</v>
      </c>
      <c r="C30" s="10">
        <v>180</v>
      </c>
      <c r="D30" s="40"/>
      <c r="E30" s="28">
        <v>45972</v>
      </c>
      <c r="F30" s="30">
        <f t="shared" si="2"/>
        <v>46152</v>
      </c>
      <c r="G30" s="14">
        <f t="shared" ca="1" si="3"/>
        <v>115</v>
      </c>
      <c r="H30" s="42"/>
    </row>
    <row r="31" spans="1:8" x14ac:dyDescent="0.25">
      <c r="A31" s="36"/>
      <c r="B31" s="10" t="s">
        <v>38</v>
      </c>
      <c r="C31" s="10">
        <v>180</v>
      </c>
      <c r="D31" s="40"/>
      <c r="E31" s="28">
        <v>45972</v>
      </c>
      <c r="F31" s="30">
        <f t="shared" si="2"/>
        <v>46152</v>
      </c>
      <c r="G31" s="14">
        <f t="shared" ca="1" si="3"/>
        <v>115</v>
      </c>
      <c r="H31" s="42"/>
    </row>
    <row r="32" spans="1:8" ht="15.75" thickBot="1" x14ac:dyDescent="0.3">
      <c r="A32" s="37"/>
      <c r="B32" s="11" t="s">
        <v>35</v>
      </c>
      <c r="C32" s="11">
        <v>7</v>
      </c>
      <c r="D32" s="40"/>
      <c r="E32" s="28">
        <v>45972</v>
      </c>
      <c r="F32" s="30">
        <f t="shared" si="2"/>
        <v>45979</v>
      </c>
      <c r="G32" s="14">
        <f t="shared" ca="1" si="3"/>
        <v>-58</v>
      </c>
      <c r="H32" s="42"/>
    </row>
    <row r="33" spans="1:8" x14ac:dyDescent="0.25">
      <c r="A33" s="35" t="s">
        <v>29</v>
      </c>
      <c r="B33" s="9" t="s">
        <v>31</v>
      </c>
      <c r="C33" s="9">
        <v>30</v>
      </c>
      <c r="D33" s="40"/>
      <c r="E33" s="27">
        <v>45972</v>
      </c>
      <c r="F33" s="20">
        <f t="shared" si="2"/>
        <v>46002</v>
      </c>
      <c r="G33" s="13">
        <f t="shared" ca="1" si="3"/>
        <v>-35</v>
      </c>
      <c r="H33" s="42"/>
    </row>
    <row r="34" spans="1:8" x14ac:dyDescent="0.25">
      <c r="A34" s="36"/>
      <c r="B34" s="10" t="s">
        <v>34</v>
      </c>
      <c r="C34" s="10">
        <v>30</v>
      </c>
      <c r="D34" s="40"/>
      <c r="E34" s="28">
        <v>45972</v>
      </c>
      <c r="F34" s="30">
        <f t="shared" si="2"/>
        <v>46002</v>
      </c>
      <c r="G34" s="14">
        <f t="shared" ca="1" si="3"/>
        <v>-35</v>
      </c>
      <c r="H34" s="42"/>
    </row>
    <row r="35" spans="1:8" x14ac:dyDescent="0.25">
      <c r="A35" s="36"/>
      <c r="B35" s="10" t="s">
        <v>36</v>
      </c>
      <c r="C35" s="10">
        <v>180</v>
      </c>
      <c r="D35" s="40"/>
      <c r="E35" s="28">
        <v>45972</v>
      </c>
      <c r="F35" s="30">
        <f t="shared" si="2"/>
        <v>46152</v>
      </c>
      <c r="G35" s="14">
        <f t="shared" ca="1" si="3"/>
        <v>115</v>
      </c>
      <c r="H35" s="42"/>
    </row>
    <row r="36" spans="1:8" ht="15.75" thickBot="1" x14ac:dyDescent="0.3">
      <c r="A36" s="37"/>
      <c r="B36" s="11" t="s">
        <v>37</v>
      </c>
      <c r="C36" s="11">
        <v>180</v>
      </c>
      <c r="D36" s="41"/>
      <c r="E36" s="33">
        <v>45972</v>
      </c>
      <c r="F36" s="21">
        <f t="shared" si="2"/>
        <v>46152</v>
      </c>
      <c r="G36" s="15">
        <f t="shared" ca="1" si="3"/>
        <v>115</v>
      </c>
      <c r="H36" s="43"/>
    </row>
    <row r="37" spans="1:8" ht="15.75" thickBot="1" x14ac:dyDescent="0.3">
      <c r="A37" s="16"/>
      <c r="B37" s="17"/>
      <c r="C37" s="7"/>
    </row>
    <row r="38" spans="1:8" ht="15.75" thickBot="1" x14ac:dyDescent="0.3">
      <c r="A38" s="65" t="s">
        <v>25</v>
      </c>
      <c r="B38" s="66"/>
      <c r="C38" s="66"/>
      <c r="D38" s="66"/>
      <c r="E38" s="66"/>
      <c r="F38" s="66"/>
      <c r="G38" s="66"/>
      <c r="H38" s="67"/>
    </row>
    <row r="39" spans="1:8" x14ac:dyDescent="0.25">
      <c r="A39" s="5">
        <v>0</v>
      </c>
      <c r="B39" s="86" t="s">
        <v>20</v>
      </c>
      <c r="C39" s="87"/>
      <c r="D39" s="87"/>
      <c r="E39" s="87"/>
      <c r="F39" s="87"/>
      <c r="G39" s="87"/>
      <c r="H39" s="88"/>
    </row>
    <row r="40" spans="1:8" x14ac:dyDescent="0.25">
      <c r="A40" s="3">
        <v>1</v>
      </c>
      <c r="B40" s="74" t="s">
        <v>24</v>
      </c>
      <c r="C40" s="75"/>
      <c r="D40" s="75"/>
      <c r="E40" s="75"/>
      <c r="F40" s="75"/>
      <c r="G40" s="75"/>
      <c r="H40" s="76"/>
    </row>
    <row r="41" spans="1:8" ht="15.75" thickBot="1" x14ac:dyDescent="0.3">
      <c r="A41" s="4">
        <v>2</v>
      </c>
      <c r="B41" s="71" t="s">
        <v>21</v>
      </c>
      <c r="C41" s="72"/>
      <c r="D41" s="72"/>
      <c r="E41" s="72"/>
      <c r="F41" s="72"/>
      <c r="G41" s="72"/>
      <c r="H41" s="73"/>
    </row>
    <row r="42" spans="1:8" ht="15.75" thickBot="1" x14ac:dyDescent="0.3"/>
    <row r="43" spans="1:8" ht="15.75" thickBot="1" x14ac:dyDescent="0.3">
      <c r="A43" s="82" t="s">
        <v>39</v>
      </c>
      <c r="B43" s="83"/>
      <c r="C43" s="83"/>
      <c r="D43" s="83"/>
      <c r="E43" s="83"/>
      <c r="F43" s="83"/>
      <c r="G43" s="83"/>
      <c r="H43" s="84"/>
    </row>
    <row r="44" spans="1:8" x14ac:dyDescent="0.25">
      <c r="A44" s="8">
        <v>0</v>
      </c>
      <c r="B44" s="68" t="s">
        <v>42</v>
      </c>
      <c r="C44" s="69"/>
      <c r="D44" s="69"/>
      <c r="E44" s="69"/>
      <c r="F44" s="69"/>
      <c r="G44" s="69"/>
      <c r="H44" s="70"/>
    </row>
    <row r="45" spans="1:8" ht="15.75" thickBot="1" x14ac:dyDescent="0.3">
      <c r="A45" s="4">
        <v>1</v>
      </c>
      <c r="B45" s="71" t="s">
        <v>41</v>
      </c>
      <c r="C45" s="72"/>
      <c r="D45" s="72"/>
      <c r="E45" s="72"/>
      <c r="F45" s="72"/>
      <c r="G45" s="72"/>
      <c r="H45" s="73"/>
    </row>
  </sheetData>
  <mergeCells count="35">
    <mergeCell ref="A38:H38"/>
    <mergeCell ref="B44:H44"/>
    <mergeCell ref="B45:H45"/>
    <mergeCell ref="A26:A27"/>
    <mergeCell ref="A13:A17"/>
    <mergeCell ref="B40:H40"/>
    <mergeCell ref="B41:H41"/>
    <mergeCell ref="E6:E20"/>
    <mergeCell ref="F6:F20"/>
    <mergeCell ref="A43:H43"/>
    <mergeCell ref="G6:G20"/>
    <mergeCell ref="B39:H39"/>
    <mergeCell ref="A23:A24"/>
    <mergeCell ref="A21:A22"/>
    <mergeCell ref="C21:C22"/>
    <mergeCell ref="C23:C24"/>
    <mergeCell ref="A2:A5"/>
    <mergeCell ref="H2:H5"/>
    <mergeCell ref="A18:A20"/>
    <mergeCell ref="D6:D20"/>
    <mergeCell ref="D2:D5"/>
    <mergeCell ref="A28:A32"/>
    <mergeCell ref="A33:A36"/>
    <mergeCell ref="D21:D36"/>
    <mergeCell ref="H21:H36"/>
    <mergeCell ref="H6:H20"/>
    <mergeCell ref="A6:A8"/>
    <mergeCell ref="A9:A12"/>
    <mergeCell ref="C6:C20"/>
    <mergeCell ref="F21:F22"/>
    <mergeCell ref="E21:E22"/>
    <mergeCell ref="F23:F24"/>
    <mergeCell ref="E23:E24"/>
    <mergeCell ref="G21:G22"/>
    <mergeCell ref="G23:G24"/>
  </mergeCells>
  <phoneticPr fontId="2" type="noConversion"/>
  <conditionalFormatting sqref="G2:G21 G23 G25:G36">
    <cfRule type="cellIs" dxfId="3" priority="1" operator="greaterThan">
      <formula>15</formula>
    </cfRule>
    <cfRule type="cellIs" dxfId="2" priority="2" operator="greaterThan">
      <formula>15</formula>
    </cfRule>
    <cfRule type="cellIs" dxfId="1" priority="3" operator="between">
      <formula>5.2</formula>
      <formula>15</formula>
    </cfRule>
    <cfRule type="cellIs" dxfId="0" priority="4" operator="lessThan">
      <formula>5.1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2B93-3F74-4D12-90D7-5BEA54BB519B}">
  <dimension ref="A1:C13"/>
  <sheetViews>
    <sheetView workbookViewId="0">
      <selection activeCell="B4" sqref="B4:B7"/>
    </sheetView>
  </sheetViews>
  <sheetFormatPr baseColWidth="10" defaultRowHeight="15" x14ac:dyDescent="0.25"/>
  <cols>
    <col min="1" max="1" width="16.28515625" bestFit="1" customWidth="1"/>
    <col min="2" max="2" width="25.7109375" customWidth="1"/>
    <col min="3" max="3" width="12.7109375" bestFit="1" customWidth="1"/>
    <col min="4" max="4" width="17.28515625" bestFit="1" customWidth="1"/>
  </cols>
  <sheetData>
    <row r="1" spans="1:3" x14ac:dyDescent="0.25">
      <c r="A1" s="29" t="s">
        <v>66</v>
      </c>
      <c r="B1" s="29" t="s">
        <v>65</v>
      </c>
      <c r="C1" s="29" t="s">
        <v>69</v>
      </c>
    </row>
    <row r="2" spans="1:3" x14ac:dyDescent="0.25">
      <c r="A2" s="1" t="s">
        <v>5</v>
      </c>
      <c r="B2" s="1" t="s">
        <v>7</v>
      </c>
      <c r="C2" s="89" t="s">
        <v>67</v>
      </c>
    </row>
    <row r="3" spans="1:3" x14ac:dyDescent="0.25">
      <c r="A3" s="1" t="s">
        <v>10</v>
      </c>
      <c r="B3" s="1" t="s">
        <v>6</v>
      </c>
      <c r="C3" s="89"/>
    </row>
    <row r="4" spans="1:3" x14ac:dyDescent="0.25">
      <c r="A4" s="90" t="s">
        <v>17</v>
      </c>
      <c r="B4" s="90" t="s">
        <v>28</v>
      </c>
      <c r="C4" s="89" t="s">
        <v>68</v>
      </c>
    </row>
    <row r="5" spans="1:3" x14ac:dyDescent="0.25">
      <c r="A5" s="91"/>
      <c r="B5" s="91"/>
      <c r="C5" s="89"/>
    </row>
    <row r="6" spans="1:3" x14ac:dyDescent="0.25">
      <c r="A6" s="91"/>
      <c r="B6" s="91"/>
      <c r="C6" s="89"/>
    </row>
    <row r="7" spans="1:3" x14ac:dyDescent="0.25">
      <c r="A7" s="92"/>
      <c r="B7" s="92"/>
      <c r="C7" s="89"/>
    </row>
    <row r="8" spans="1:3" x14ac:dyDescent="0.25">
      <c r="A8" s="90" t="s">
        <v>61</v>
      </c>
      <c r="B8" s="90" t="s">
        <v>8</v>
      </c>
      <c r="C8" s="89"/>
    </row>
    <row r="9" spans="1:3" x14ac:dyDescent="0.25">
      <c r="A9" s="91"/>
      <c r="B9" s="91"/>
      <c r="C9" s="89"/>
    </row>
    <row r="10" spans="1:3" x14ac:dyDescent="0.25">
      <c r="A10" s="91"/>
      <c r="B10" s="91"/>
      <c r="C10" s="89"/>
    </row>
    <row r="11" spans="1:3" x14ac:dyDescent="0.25">
      <c r="A11" s="92"/>
      <c r="B11" s="92"/>
      <c r="C11" s="89"/>
    </row>
    <row r="12" spans="1:3" x14ac:dyDescent="0.25">
      <c r="A12" s="89" t="s">
        <v>9</v>
      </c>
      <c r="B12" s="89" t="s">
        <v>27</v>
      </c>
      <c r="C12" s="89"/>
    </row>
    <row r="13" spans="1:3" x14ac:dyDescent="0.25">
      <c r="A13" s="89"/>
      <c r="B13" s="89"/>
      <c r="C13" s="89"/>
    </row>
  </sheetData>
  <mergeCells count="8">
    <mergeCell ref="B12:B13"/>
    <mergeCell ref="C2:C3"/>
    <mergeCell ref="C4:C13"/>
    <mergeCell ref="A12:A13"/>
    <mergeCell ref="B4:B7"/>
    <mergeCell ref="B8:B11"/>
    <mergeCell ref="A8:A11"/>
    <mergeCell ref="A4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Contacto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Lasa</dc:creator>
  <cp:lastModifiedBy>Cristian</cp:lastModifiedBy>
  <dcterms:created xsi:type="dcterms:W3CDTF">2025-09-23T15:38:38Z</dcterms:created>
  <dcterms:modified xsi:type="dcterms:W3CDTF">2026-01-15T15:02:59Z</dcterms:modified>
</cp:coreProperties>
</file>